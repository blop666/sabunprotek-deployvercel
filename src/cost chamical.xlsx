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ac704de8851b3d/harga chemical/"/>
    </mc:Choice>
  </mc:AlternateContent>
  <xr:revisionPtr revIDLastSave="0" documentId="8_{CDB8CD13-EEB2-544A-9A98-206094FC8489}" xr6:coauthVersionLast="47" xr6:coauthVersionMax="47" xr10:uidLastSave="{00000000-0000-0000-0000-000000000000}"/>
  <bookViews>
    <workbookView xWindow="9500" yWindow="1380" windowWidth="20680" windowHeight="16760" xr2:uid="{26CBA44F-8DFE-2B4C-AAB6-261358A6DF3E}"/>
  </bookViews>
  <sheets>
    <sheet name="Lembar1" sheetId="1" r:id="rId1"/>
  </sheets>
  <definedNames>
    <definedName name="_xlnm.Print_Area" localSheetId="0">Lembar1!$A$1:$J$23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/>
  <c r="F11" i="1"/>
  <c r="D11" i="1"/>
  <c r="E16" i="1"/>
  <c r="G18" i="1"/>
  <c r="I18" i="1"/>
  <c r="I10" i="1"/>
  <c r="F10" i="1"/>
  <c r="D10" i="1"/>
  <c r="I9" i="1"/>
  <c r="P9" i="1"/>
  <c r="F9" i="1"/>
  <c r="O9" i="1"/>
  <c r="D9" i="1"/>
  <c r="I8" i="1"/>
  <c r="F8" i="1"/>
  <c r="D8" i="1"/>
  <c r="I7" i="1"/>
  <c r="F7" i="1"/>
  <c r="D7" i="1"/>
  <c r="I6" i="1"/>
  <c r="F6" i="1"/>
  <c r="O6" i="1"/>
  <c r="D6" i="1"/>
  <c r="N11" i="1"/>
  <c r="S11" i="1"/>
  <c r="S6" i="1"/>
  <c r="O5" i="1"/>
  <c r="P5" i="1"/>
  <c r="N10" i="1"/>
  <c r="S10" i="1"/>
  <c r="N9" i="1"/>
  <c r="S9" i="1"/>
  <c r="N8" i="1"/>
  <c r="S8" i="1"/>
  <c r="N7" i="1"/>
  <c r="S7" i="1"/>
  <c r="N6" i="1"/>
  <c r="P6" i="1"/>
  <c r="U11" i="1"/>
  <c r="U7" i="1"/>
  <c r="U6" i="1"/>
  <c r="U10" i="1"/>
  <c r="U9" i="1"/>
  <c r="U8" i="1"/>
  <c r="J9" i="1"/>
  <c r="J6" i="1"/>
  <c r="G11" i="1"/>
  <c r="G10" i="1"/>
  <c r="J10" i="1"/>
  <c r="J7" i="1"/>
  <c r="G7" i="1"/>
  <c r="O10" i="1"/>
  <c r="P7" i="1"/>
  <c r="G6" i="1"/>
  <c r="J8" i="1"/>
  <c r="G8" i="1"/>
  <c r="G21" i="1"/>
  <c r="G17" i="1"/>
  <c r="I17" i="1"/>
  <c r="P11" i="1"/>
  <c r="P10" i="1"/>
  <c r="G9" i="1"/>
  <c r="O7" i="1"/>
  <c r="O8" i="1"/>
  <c r="P8" i="1"/>
  <c r="O11" i="1"/>
  <c r="T9" i="1"/>
  <c r="T8" i="1"/>
  <c r="T11" i="1"/>
  <c r="T7" i="1"/>
  <c r="T10" i="1"/>
  <c r="T6" i="1"/>
  <c r="V6" i="1"/>
  <c r="W6" i="1"/>
  <c r="X6" i="1"/>
  <c r="J12" i="1"/>
  <c r="J13" i="1"/>
  <c r="E21" i="1"/>
  <c r="I21" i="1"/>
  <c r="G12" i="1"/>
  <c r="G13" i="1"/>
  <c r="E20" i="1"/>
  <c r="G20" i="1"/>
  <c r="I20" i="1"/>
  <c r="G23" i="1"/>
  <c r="V10" i="1"/>
  <c r="W10" i="1"/>
  <c r="X10" i="1"/>
  <c r="V7" i="1"/>
  <c r="W7" i="1"/>
  <c r="X7" i="1"/>
  <c r="V11" i="1"/>
  <c r="W11" i="1"/>
  <c r="X11" i="1"/>
  <c r="V8" i="1"/>
  <c r="W8" i="1"/>
  <c r="X8" i="1"/>
  <c r="V9" i="1"/>
  <c r="W9" i="1"/>
  <c r="X9" i="1"/>
  <c r="X12" i="1"/>
</calcChain>
</file>

<file path=xl/sharedStrings.xml><?xml version="1.0" encoding="utf-8"?>
<sst xmlns="http://schemas.openxmlformats.org/spreadsheetml/2006/main" count="78" uniqueCount="52">
  <si>
    <t xml:space="preserve">         Dosis Pemakain</t>
  </si>
  <si>
    <t>NO</t>
  </si>
  <si>
    <t xml:space="preserve">NAMA </t>
  </si>
  <si>
    <t>HARGA /</t>
  </si>
  <si>
    <t xml:space="preserve">HARGA </t>
  </si>
  <si>
    <t>DOSIS</t>
  </si>
  <si>
    <t xml:space="preserve"> NON INFEKSIUS</t>
  </si>
  <si>
    <t>INFEKSIUS</t>
  </si>
  <si>
    <t>Non Infeksius</t>
  </si>
  <si>
    <t>Infeksius</t>
  </si>
  <si>
    <t>Total camical</t>
  </si>
  <si>
    <t xml:space="preserve">Konversi </t>
  </si>
  <si>
    <t>Total belanja</t>
  </si>
  <si>
    <t>PRODUK</t>
  </si>
  <si>
    <t>Galon (25 Ltr)</t>
  </si>
  <si>
    <t>Per Ltr</t>
  </si>
  <si>
    <t>Per Kg</t>
  </si>
  <si>
    <t>Mesin</t>
  </si>
  <si>
    <t>Cost</t>
  </si>
  <si>
    <t>Ltr/Bln</t>
  </si>
  <si>
    <t>non + infeksi</t>
  </si>
  <si>
    <t>Ke kemasan</t>
  </si>
  <si>
    <t xml:space="preserve">per bulan </t>
  </si>
  <si>
    <t>(Rp)</t>
  </si>
  <si>
    <t>(ml)</t>
  </si>
  <si>
    <t>25 Ltr</t>
  </si>
  <si>
    <t>Cost per Load</t>
  </si>
  <si>
    <t>Cost per Kg</t>
  </si>
  <si>
    <t>Rata-Rata Load Per Hari</t>
  </si>
  <si>
    <t>Kg</t>
  </si>
  <si>
    <t>Load Per Bulan</t>
  </si>
  <si>
    <t>Load Non Infeksius</t>
  </si>
  <si>
    <t xml:space="preserve">x                </t>
  </si>
  <si>
    <t>=</t>
  </si>
  <si>
    <t>Kg/bulan</t>
  </si>
  <si>
    <t>Load Infeksius</t>
  </si>
  <si>
    <t>Cost per Kg Non Infeksius</t>
  </si>
  <si>
    <t>Rp.</t>
  </si>
  <si>
    <t>x</t>
  </si>
  <si>
    <t>.=  Rp.</t>
  </si>
  <si>
    <t>Cost per Kg Infeksius</t>
  </si>
  <si>
    <t>TOTAL (RP)</t>
  </si>
  <si>
    <t>LAUNTEX L</t>
  </si>
  <si>
    <t>PROTEK OXYGEN ACTIVE</t>
  </si>
  <si>
    <t>PROTEK FABRIC SOFT</t>
  </si>
  <si>
    <t>SENTRY L</t>
  </si>
  <si>
    <t>ACTION</t>
  </si>
  <si>
    <t>AVENGER L</t>
  </si>
  <si>
    <r>
      <t xml:space="preserve">Pembelian Chemical </t>
    </r>
    <r>
      <rPr>
        <b/>
        <i/>
        <sz val="12"/>
        <color theme="1"/>
        <rFont val="Bookman Old Style"/>
        <family val="1"/>
      </rPr>
      <t>PROTEK</t>
    </r>
    <r>
      <rPr>
        <b/>
        <sz val="12"/>
        <color theme="1"/>
        <rFont val="Bookman Old Style"/>
        <family val="1"/>
      </rPr>
      <t xml:space="preserve"> per bulan  =                      Rp.</t>
    </r>
  </si>
  <si>
    <t xml:space="preserve">x                 </t>
  </si>
  <si>
    <t>Kebutuhan per bulan</t>
  </si>
  <si>
    <t xml:space="preserve">ILUSTRASI FORMULA DOSIS PENCUCIAN DAN COST PROTEK PER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</si>
</sst>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_);_(@_)"/>
    <numFmt numFmtId="167" formatCode="_(* #,##0.00_);_(* \(#,##0.00\);_(* &quot;-&quot;_);_(@_)"/>
  </numFmts>
  <fonts count="19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B050"/>
      <name val="Calibri"/>
      <family val="2"/>
      <charset val="1"/>
      <scheme val="minor"/>
    </font>
    <font>
      <b/>
      <sz val="12"/>
      <name val="Bookman Old Style"/>
      <family val="1"/>
    </font>
    <font>
      <b/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0000"/>
      <name val="Bookman Old Style"/>
      <family val="1"/>
    </font>
    <font>
      <b/>
      <i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0"/>
      <color indexed="8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rgb="FFFF000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505050"/>
      </left>
      <right style="thin">
        <color indexed="64"/>
      </right>
      <top style="medium">
        <color indexed="64"/>
      </top>
      <bottom/>
      <diagonal/>
    </border>
    <border>
      <left style="thin">
        <color rgb="FF505050"/>
      </left>
      <right style="thin">
        <color indexed="64"/>
      </right>
      <top/>
      <bottom/>
      <diagonal/>
    </border>
    <border>
      <left style="thin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4" fontId="5" fillId="3" borderId="0" xfId="0" applyNumberFormat="1" applyFont="1" applyFill="1"/>
    <xf numFmtId="165" fontId="0" fillId="0" borderId="0" xfId="1" applyNumberFormat="1" applyFont="1" applyBorder="1"/>
    <xf numFmtId="164" fontId="4" fillId="0" borderId="0" xfId="0" applyNumberFormat="1" applyFont="1"/>
    <xf numFmtId="166" fontId="0" fillId="0" borderId="0" xfId="0" applyNumberFormat="1"/>
    <xf numFmtId="165" fontId="0" fillId="0" borderId="0" xfId="1" applyNumberFormat="1" applyFont="1" applyFill="1" applyBorder="1"/>
    <xf numFmtId="0" fontId="6" fillId="0" borderId="0" xfId="0" applyFont="1"/>
    <xf numFmtId="164" fontId="0" fillId="0" borderId="0" xfId="0" quotePrefix="1" applyNumberFormat="1"/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/>
    <xf numFmtId="0" fontId="9" fillId="0" borderId="4" xfId="0" applyFont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5" fontId="11" fillId="0" borderId="2" xfId="0" applyNumberFormat="1" applyFont="1" applyBorder="1"/>
    <xf numFmtId="0" fontId="11" fillId="0" borderId="2" xfId="2" applyNumberFormat="1" applyFont="1" applyFill="1" applyBorder="1" applyAlignment="1">
      <alignment horizontal="center"/>
    </xf>
    <xf numFmtId="164" fontId="11" fillId="0" borderId="3" xfId="0" applyNumberFormat="1" applyFont="1" applyBorder="1"/>
    <xf numFmtId="0" fontId="11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1" fontId="11" fillId="0" borderId="23" xfId="2" applyFont="1" applyFill="1" applyBorder="1"/>
    <xf numFmtId="164" fontId="11" fillId="0" borderId="35" xfId="0" applyNumberFormat="1" applyFont="1" applyBorder="1" applyAlignment="1">
      <alignment horizontal="center" vertical="center"/>
    </xf>
    <xf numFmtId="165" fontId="9" fillId="2" borderId="30" xfId="0" applyNumberFormat="1" applyFont="1" applyFill="1" applyBorder="1"/>
    <xf numFmtId="164" fontId="9" fillId="2" borderId="24" xfId="0" applyNumberFormat="1" applyFont="1" applyFill="1" applyBorder="1"/>
    <xf numFmtId="0" fontId="9" fillId="2" borderId="24" xfId="0" applyFont="1" applyFill="1" applyBorder="1"/>
    <xf numFmtId="165" fontId="9" fillId="2" borderId="25" xfId="0" applyNumberFormat="1" applyFont="1" applyFill="1" applyBorder="1"/>
    <xf numFmtId="0" fontId="11" fillId="0" borderId="0" xfId="0" applyFont="1"/>
    <xf numFmtId="164" fontId="11" fillId="0" borderId="0" xfId="0" applyNumberFormat="1" applyFont="1"/>
    <xf numFmtId="41" fontId="11" fillId="0" borderId="0" xfId="2" applyFont="1"/>
    <xf numFmtId="0" fontId="11" fillId="0" borderId="0" xfId="0" applyFont="1" applyAlignment="1">
      <alignment horizontal="center"/>
    </xf>
    <xf numFmtId="9" fontId="13" fillId="0" borderId="0" xfId="0" applyNumberFormat="1" applyFont="1"/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center"/>
    </xf>
    <xf numFmtId="41" fontId="12" fillId="0" borderId="0" xfId="2" applyFont="1"/>
    <xf numFmtId="164" fontId="12" fillId="0" borderId="0" xfId="0" applyNumberFormat="1" applyFont="1" applyAlignment="1">
      <alignment horizontal="center"/>
    </xf>
    <xf numFmtId="0" fontId="9" fillId="0" borderId="14" xfId="0" applyFont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9" xfId="0" applyFont="1" applyBorder="1"/>
    <xf numFmtId="0" fontId="9" fillId="0" borderId="3" xfId="0" applyFont="1" applyBorder="1" applyAlignment="1">
      <alignment horizontal="center"/>
    </xf>
    <xf numFmtId="0" fontId="9" fillId="0" borderId="5" xfId="0" applyFont="1" applyBorder="1"/>
    <xf numFmtId="0" fontId="8" fillId="0" borderId="22" xfId="0" applyFont="1" applyBorder="1"/>
    <xf numFmtId="0" fontId="9" fillId="0" borderId="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19" xfId="0" applyFont="1" applyBorder="1"/>
    <xf numFmtId="0" fontId="9" fillId="0" borderId="20" xfId="0" applyFont="1" applyBorder="1" applyAlignment="1">
      <alignment horizontal="center"/>
    </xf>
    <xf numFmtId="0" fontId="8" fillId="0" borderId="33" xfId="0" applyFont="1" applyBorder="1"/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5" fontId="9" fillId="0" borderId="2" xfId="1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1" fillId="0" borderId="20" xfId="0" applyNumberFormat="1" applyFont="1" applyBorder="1"/>
    <xf numFmtId="0" fontId="16" fillId="0" borderId="2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167" fontId="7" fillId="0" borderId="0" xfId="0" applyNumberFormat="1" applyFont="1"/>
    <xf numFmtId="164" fontId="9" fillId="2" borderId="32" xfId="0" applyNumberFormat="1" applyFont="1" applyFill="1" applyBorder="1"/>
    <xf numFmtId="0" fontId="9" fillId="2" borderId="32" xfId="0" applyFont="1" applyFill="1" applyBorder="1"/>
    <xf numFmtId="164" fontId="9" fillId="2" borderId="41" xfId="0" applyNumberFormat="1" applyFont="1" applyFill="1" applyBorder="1"/>
    <xf numFmtId="165" fontId="11" fillId="0" borderId="32" xfId="0" applyNumberFormat="1" applyFont="1" applyBorder="1"/>
    <xf numFmtId="0" fontId="11" fillId="0" borderId="32" xfId="2" applyNumberFormat="1" applyFont="1" applyFill="1" applyBorder="1" applyAlignment="1">
      <alignment horizontal="center"/>
    </xf>
    <xf numFmtId="0" fontId="8" fillId="0" borderId="35" xfId="0" applyFont="1" applyBorder="1" applyAlignment="1">
      <alignment horizontal="center"/>
    </xf>
    <xf numFmtId="164" fontId="11" fillId="0" borderId="35" xfId="0" applyNumberFormat="1" applyFont="1" applyBorder="1"/>
    <xf numFmtId="0" fontId="11" fillId="0" borderId="3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41" fontId="11" fillId="0" borderId="41" xfId="2" applyFont="1" applyFill="1" applyBorder="1"/>
    <xf numFmtId="0" fontId="10" fillId="0" borderId="43" xfId="0" applyFont="1" applyBorder="1"/>
    <xf numFmtId="0" fontId="10" fillId="0" borderId="19" xfId="0" applyFont="1" applyBorder="1"/>
    <xf numFmtId="0" fontId="10" fillId="0" borderId="31" xfId="0" applyFont="1" applyBorder="1"/>
    <xf numFmtId="43" fontId="0" fillId="0" borderId="0" xfId="0" applyNumberFormat="1"/>
    <xf numFmtId="0" fontId="9" fillId="5" borderId="7" xfId="0" applyFont="1" applyFill="1" applyBorder="1"/>
    <xf numFmtId="0" fontId="9" fillId="5" borderId="8" xfId="0" applyFont="1" applyFill="1" applyBorder="1"/>
    <xf numFmtId="0" fontId="9" fillId="5" borderId="9" xfId="0" applyFont="1" applyFill="1" applyBorder="1"/>
    <xf numFmtId="0" fontId="4" fillId="0" borderId="2" xfId="0" applyFont="1" applyBorder="1"/>
    <xf numFmtId="0" fontId="4" fillId="0" borderId="32" xfId="0" applyFont="1" applyBorder="1"/>
    <xf numFmtId="0" fontId="4" fillId="0" borderId="1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vertical="center"/>
    </xf>
    <xf numFmtId="0" fontId="12" fillId="4" borderId="44" xfId="0" applyFont="1" applyFill="1" applyBorder="1"/>
    <xf numFmtId="0" fontId="12" fillId="4" borderId="45" xfId="0" applyFont="1" applyFill="1" applyBorder="1"/>
    <xf numFmtId="0" fontId="9" fillId="0" borderId="18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164" fontId="12" fillId="0" borderId="20" xfId="0" applyNumberFormat="1" applyFont="1" applyBorder="1"/>
    <xf numFmtId="164" fontId="12" fillId="4" borderId="46" xfId="0" applyNumberFormat="1" applyFont="1" applyFill="1" applyBorder="1"/>
    <xf numFmtId="0" fontId="8" fillId="0" borderId="31" xfId="0" applyFont="1" applyBorder="1"/>
    <xf numFmtId="0" fontId="16" fillId="0" borderId="32" xfId="0" applyFont="1" applyBorder="1" applyAlignment="1">
      <alignment vertical="center" wrapText="1"/>
    </xf>
    <xf numFmtId="165" fontId="9" fillId="0" borderId="32" xfId="1" applyNumberFormat="1" applyFont="1" applyBorder="1" applyAlignment="1">
      <alignment horizontal="center"/>
    </xf>
    <xf numFmtId="164" fontId="9" fillId="0" borderId="35" xfId="0" applyNumberFormat="1" applyFont="1" applyBorder="1" applyAlignment="1">
      <alignment horizontal="center"/>
    </xf>
    <xf numFmtId="164" fontId="12" fillId="0" borderId="47" xfId="0" applyNumberFormat="1" applyFont="1" applyBorder="1"/>
    <xf numFmtId="164" fontId="11" fillId="0" borderId="47" xfId="0" applyNumberFormat="1" applyFont="1" applyBorder="1"/>
    <xf numFmtId="0" fontId="9" fillId="6" borderId="14" xfId="0" applyFont="1" applyFill="1" applyBorder="1"/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19" xfId="0" applyFont="1" applyFill="1" applyBorder="1"/>
    <xf numFmtId="0" fontId="9" fillId="6" borderId="3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12" xfId="0" applyFont="1" applyFill="1" applyBorder="1"/>
    <xf numFmtId="0" fontId="9" fillId="6" borderId="5" xfId="0" applyFont="1" applyFill="1" applyBorder="1"/>
    <xf numFmtId="0" fontId="9" fillId="6" borderId="4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17" fillId="7" borderId="34" xfId="0" applyFont="1" applyFill="1" applyBorder="1"/>
    <xf numFmtId="0" fontId="17" fillId="7" borderId="36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17" fillId="7" borderId="22" xfId="0" applyFont="1" applyFill="1" applyBorder="1"/>
    <xf numFmtId="0" fontId="17" fillId="7" borderId="37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7" borderId="23" xfId="0" applyFont="1" applyFill="1" applyBorder="1" applyAlignment="1">
      <alignment horizontal="center"/>
    </xf>
    <xf numFmtId="0" fontId="17" fillId="7" borderId="38" xfId="0" applyFont="1" applyFill="1" applyBorder="1"/>
    <xf numFmtId="0" fontId="17" fillId="7" borderId="5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1" fontId="13" fillId="0" borderId="0" xfId="0" applyNumberFormat="1" applyFont="1"/>
    <xf numFmtId="0" fontId="18" fillId="7" borderId="5" xfId="0" applyFont="1" applyFill="1" applyBorder="1" applyAlignment="1">
      <alignment horizontal="center"/>
    </xf>
    <xf numFmtId="164" fontId="9" fillId="5" borderId="7" xfId="0" applyNumberFormat="1" applyFont="1" applyFill="1" applyBorder="1" applyAlignment="1">
      <alignment horizontal="center"/>
    </xf>
    <xf numFmtId="164" fontId="9" fillId="5" borderId="8" xfId="0" applyNumberFormat="1" applyFont="1" applyFill="1" applyBorder="1" applyAlignment="1">
      <alignment horizontal="center"/>
    </xf>
    <xf numFmtId="164" fontId="9" fillId="5" borderId="9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7" borderId="26" xfId="0" applyFont="1" applyFill="1" applyBorder="1" applyAlignment="1">
      <alignment horizontal="center"/>
    </xf>
    <xf numFmtId="0" fontId="17" fillId="7" borderId="48" xfId="0" applyFont="1" applyFill="1" applyBorder="1" applyAlignment="1">
      <alignment horizontal="center"/>
    </xf>
    <xf numFmtId="0" fontId="17" fillId="7" borderId="49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left"/>
    </xf>
    <xf numFmtId="0" fontId="8" fillId="2" borderId="40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left"/>
    </xf>
    <xf numFmtId="0" fontId="8" fillId="2" borderId="28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8" fillId="2" borderId="39" xfId="0" applyFont="1" applyFill="1" applyBorder="1" applyAlignment="1">
      <alignment horizontal="left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E9D-22E3-A348-98CD-F67F934660A0}">
  <dimension ref="A1:AA24"/>
  <sheetViews>
    <sheetView showGridLines="0" tabSelected="1" topLeftCell="V1" zoomScaleNormal="90" workbookViewId="0">
      <selection activeCell="E16" sqref="E16"/>
    </sheetView>
  </sheetViews>
  <sheetFormatPr defaultColWidth="10.8515625" defaultRowHeight="15" x14ac:dyDescent="0.2"/>
  <cols>
    <col min="1" max="1" width="3.8203125" customWidth="1"/>
    <col min="2" max="2" width="33.5390625" customWidth="1"/>
    <col min="3" max="3" width="15.2890625" customWidth="1"/>
    <col min="4" max="4" width="11.7109375" customWidth="1"/>
    <col min="5" max="5" width="10.97265625" customWidth="1"/>
    <col min="6" max="6" width="10.48046875" customWidth="1"/>
    <col min="7" max="7" width="12.328125" customWidth="1"/>
    <col min="8" max="8" width="10.6015625" customWidth="1"/>
    <col min="9" max="9" width="12.9453125" customWidth="1"/>
    <col min="10" max="10" width="11.46484375" customWidth="1"/>
    <col min="12" max="12" width="14.0546875" customWidth="1"/>
    <col min="13" max="13" width="6.0390625" customWidth="1"/>
    <col min="14" max="14" width="34.52734375" customWidth="1"/>
    <col min="15" max="15" width="18.6171875" customWidth="1"/>
    <col min="16" max="16" width="16.64453125" customWidth="1"/>
    <col min="18" max="18" width="5.79296875" customWidth="1"/>
    <col min="19" max="19" width="35.01953125" customWidth="1"/>
    <col min="20" max="20" width="21.33203125" customWidth="1"/>
    <col min="21" max="21" width="12.9453125" customWidth="1"/>
    <col min="22" max="22" width="15.66015625" customWidth="1"/>
    <col min="23" max="23" width="12.82421875" customWidth="1"/>
    <col min="24" max="24" width="17.015625" customWidth="1"/>
    <col min="25" max="25" width="14.671875" customWidth="1"/>
    <col min="26" max="26" width="14.30078125" customWidth="1"/>
    <col min="27" max="27" width="21.94921875" customWidth="1"/>
  </cols>
  <sheetData>
    <row r="1" spans="1:27" ht="18" x14ac:dyDescent="0.2">
      <c r="A1" s="142" t="s">
        <v>51</v>
      </c>
      <c r="B1" s="142"/>
      <c r="C1" s="142"/>
      <c r="D1" s="142"/>
      <c r="E1" s="142"/>
      <c r="F1" s="142"/>
      <c r="G1" s="142"/>
      <c r="H1" s="142"/>
      <c r="I1" s="142"/>
      <c r="J1" s="142"/>
      <c r="K1" s="1"/>
      <c r="M1" s="140" t="s">
        <v>0</v>
      </c>
      <c r="N1" s="140"/>
      <c r="O1" s="140"/>
      <c r="P1" s="140"/>
      <c r="R1" s="141" t="s">
        <v>50</v>
      </c>
      <c r="S1" s="141"/>
      <c r="T1" s="141"/>
      <c r="U1" s="141"/>
      <c r="V1" s="141"/>
      <c r="W1" s="141"/>
      <c r="X1" s="141"/>
    </row>
    <row r="2" spans="1:27" ht="16.5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2"/>
      <c r="M2" s="35"/>
      <c r="N2" s="35"/>
      <c r="O2" s="35"/>
      <c r="P2" s="35"/>
      <c r="R2" s="35"/>
      <c r="S2" s="35"/>
      <c r="T2" s="35"/>
      <c r="U2" s="35"/>
      <c r="V2" s="35"/>
      <c r="W2" s="35"/>
      <c r="X2" s="35"/>
    </row>
    <row r="3" spans="1:27" ht="15.75" x14ac:dyDescent="0.2">
      <c r="A3" s="118" t="s">
        <v>1</v>
      </c>
      <c r="B3" s="119" t="s">
        <v>2</v>
      </c>
      <c r="C3" s="120" t="s">
        <v>3</v>
      </c>
      <c r="D3" s="121" t="s">
        <v>4</v>
      </c>
      <c r="E3" s="122" t="s">
        <v>5</v>
      </c>
      <c r="F3" s="143" t="s">
        <v>6</v>
      </c>
      <c r="G3" s="144"/>
      <c r="H3" s="120" t="s">
        <v>5</v>
      </c>
      <c r="I3" s="143" t="s">
        <v>7</v>
      </c>
      <c r="J3" s="145"/>
      <c r="K3" s="3"/>
      <c r="M3" s="106" t="s">
        <v>1</v>
      </c>
      <c r="N3" s="107" t="s">
        <v>2</v>
      </c>
      <c r="O3" s="108" t="s">
        <v>8</v>
      </c>
      <c r="P3" s="109" t="s">
        <v>9</v>
      </c>
      <c r="R3" s="45" t="s">
        <v>1</v>
      </c>
      <c r="S3" s="46" t="s">
        <v>2</v>
      </c>
      <c r="T3" s="47" t="s">
        <v>8</v>
      </c>
      <c r="U3" s="47" t="s">
        <v>9</v>
      </c>
      <c r="V3" s="95" t="s">
        <v>10</v>
      </c>
      <c r="W3" s="89" t="s">
        <v>11</v>
      </c>
      <c r="X3" s="59" t="s">
        <v>12</v>
      </c>
      <c r="Y3" s="4"/>
      <c r="Z3" s="4"/>
      <c r="AA3" s="4"/>
    </row>
    <row r="4" spans="1:27" ht="15.75" x14ac:dyDescent="0.2">
      <c r="A4" s="123"/>
      <c r="B4" s="124" t="s">
        <v>13</v>
      </c>
      <c r="C4" s="125" t="s">
        <v>14</v>
      </c>
      <c r="D4" s="126" t="s">
        <v>15</v>
      </c>
      <c r="E4" s="127" t="s">
        <v>16</v>
      </c>
      <c r="F4" s="128" t="s">
        <v>17</v>
      </c>
      <c r="G4" s="128" t="s">
        <v>18</v>
      </c>
      <c r="H4" s="125" t="s">
        <v>16</v>
      </c>
      <c r="I4" s="128" t="s">
        <v>17</v>
      </c>
      <c r="J4" s="129" t="s">
        <v>18</v>
      </c>
      <c r="K4" s="5"/>
      <c r="M4" s="110"/>
      <c r="N4" s="111" t="s">
        <v>13</v>
      </c>
      <c r="O4" s="112" t="s">
        <v>17</v>
      </c>
      <c r="P4" s="113" t="s">
        <v>17</v>
      </c>
      <c r="R4" s="48"/>
      <c r="S4" s="49" t="s">
        <v>13</v>
      </c>
      <c r="T4" s="20" t="s">
        <v>19</v>
      </c>
      <c r="U4" s="20" t="s">
        <v>19</v>
      </c>
      <c r="V4" s="96" t="s">
        <v>20</v>
      </c>
      <c r="W4" s="90" t="s">
        <v>21</v>
      </c>
      <c r="X4" s="60" t="s">
        <v>22</v>
      </c>
      <c r="Y4" s="4"/>
      <c r="Z4" s="4"/>
      <c r="AA4" s="4"/>
    </row>
    <row r="5" spans="1:27" ht="15.75" x14ac:dyDescent="0.2">
      <c r="A5" s="123"/>
      <c r="B5" s="130"/>
      <c r="C5" s="131" t="s">
        <v>23</v>
      </c>
      <c r="D5" s="132" t="s">
        <v>23</v>
      </c>
      <c r="E5" s="133" t="s">
        <v>24</v>
      </c>
      <c r="F5" s="136">
        <v>35</v>
      </c>
      <c r="G5" s="131" t="s">
        <v>23</v>
      </c>
      <c r="H5" s="131" t="s">
        <v>24</v>
      </c>
      <c r="I5" s="136">
        <v>35</v>
      </c>
      <c r="J5" s="134" t="s">
        <v>23</v>
      </c>
      <c r="K5" s="6"/>
      <c r="M5" s="114"/>
      <c r="N5" s="115"/>
      <c r="O5" s="116">
        <f t="shared" ref="O5:O10" si="0">F5</f>
        <v>35</v>
      </c>
      <c r="P5" s="117">
        <f t="shared" ref="P5:P10" si="1">I5</f>
        <v>35</v>
      </c>
      <c r="R5" s="21"/>
      <c r="S5" s="50"/>
      <c r="T5" s="22"/>
      <c r="U5" s="22"/>
      <c r="V5" s="97"/>
      <c r="W5" s="91" t="s">
        <v>25</v>
      </c>
      <c r="X5" s="61" t="s">
        <v>23</v>
      </c>
      <c r="Y5" s="4"/>
      <c r="Z5" s="4"/>
      <c r="AA5" s="4"/>
    </row>
    <row r="6" spans="1:27" ht="17.100000000000001" customHeight="1" x14ac:dyDescent="0.2">
      <c r="A6" s="79">
        <v>1</v>
      </c>
      <c r="B6" s="88" t="s">
        <v>47</v>
      </c>
      <c r="C6" s="23">
        <v>1305234</v>
      </c>
      <c r="D6" s="24">
        <f>C6/25</f>
        <v>52209.36</v>
      </c>
      <c r="E6" s="25">
        <v>1</v>
      </c>
      <c r="F6" s="19">
        <f>E6*F5</f>
        <v>35</v>
      </c>
      <c r="G6" s="26">
        <f t="shared" ref="G6:G9" si="2">(D6/1000)*F6</f>
        <v>1827.3276000000001</v>
      </c>
      <c r="H6" s="27">
        <v>5</v>
      </c>
      <c r="I6" s="28">
        <f>H6*I5</f>
        <v>175</v>
      </c>
      <c r="J6" s="29">
        <f>(D6/1000)*I6</f>
        <v>9136.6380000000008</v>
      </c>
      <c r="K6" s="7"/>
      <c r="M6" s="51">
        <v>1</v>
      </c>
      <c r="N6" s="65" t="str">
        <f t="shared" ref="N6:N10" si="3">B6</f>
        <v>AVENGER L</v>
      </c>
      <c r="O6" s="52">
        <f t="shared" si="0"/>
        <v>35</v>
      </c>
      <c r="P6" s="53">
        <f t="shared" si="1"/>
        <v>175</v>
      </c>
      <c r="R6" s="54">
        <v>1</v>
      </c>
      <c r="S6" s="65" t="str">
        <f>B6</f>
        <v>AVENGER L</v>
      </c>
      <c r="T6" s="62">
        <f>E6*I17</f>
        <v>5400</v>
      </c>
      <c r="U6" s="63">
        <f>H6*I18</f>
        <v>63000</v>
      </c>
      <c r="V6" s="98">
        <f>T6+U6</f>
        <v>68400</v>
      </c>
      <c r="W6" s="92">
        <f>(V6/1000)/25</f>
        <v>2.7360000000000002</v>
      </c>
      <c r="X6" s="64">
        <f>C6*W6</f>
        <v>3571120.2240000004</v>
      </c>
      <c r="Y6" s="17"/>
      <c r="Z6" s="9"/>
      <c r="AA6" s="68"/>
    </row>
    <row r="7" spans="1:27" ht="15.75" x14ac:dyDescent="0.2">
      <c r="A7" s="80">
        <v>2</v>
      </c>
      <c r="B7" s="86" t="s">
        <v>42</v>
      </c>
      <c r="C7" s="23">
        <v>1305234</v>
      </c>
      <c r="D7" s="24">
        <f t="shared" ref="D7:D11" si="4">C7/25</f>
        <v>52209.36</v>
      </c>
      <c r="E7" s="25">
        <v>1</v>
      </c>
      <c r="F7" s="19">
        <f>E7*F5</f>
        <v>35</v>
      </c>
      <c r="G7" s="26">
        <f t="shared" si="2"/>
        <v>1827.3276000000001</v>
      </c>
      <c r="H7" s="27">
        <v>5</v>
      </c>
      <c r="I7" s="28">
        <f>H7*I5</f>
        <v>175</v>
      </c>
      <c r="J7" s="29">
        <f t="shared" ref="J7:J11" si="5">(D7/1000)*I7</f>
        <v>9136.6380000000008</v>
      </c>
      <c r="K7" s="7"/>
      <c r="M7" s="51">
        <v>2</v>
      </c>
      <c r="N7" s="65" t="str">
        <f t="shared" si="3"/>
        <v>LAUNTEX L</v>
      </c>
      <c r="O7" s="52">
        <f t="shared" si="0"/>
        <v>35</v>
      </c>
      <c r="P7" s="53">
        <f t="shared" si="1"/>
        <v>175</v>
      </c>
      <c r="R7" s="54">
        <v>2</v>
      </c>
      <c r="S7" s="65" t="str">
        <f>N7</f>
        <v>LAUNTEX L</v>
      </c>
      <c r="T7" s="62">
        <f>E7*I17</f>
        <v>5400</v>
      </c>
      <c r="U7" s="63">
        <f>H7*I18</f>
        <v>63000</v>
      </c>
      <c r="V7" s="98">
        <f t="shared" ref="V7:V11" si="6">T7+U7</f>
        <v>68400</v>
      </c>
      <c r="W7" s="92">
        <f>(V7/1000)/25</f>
        <v>2.7360000000000002</v>
      </c>
      <c r="X7" s="64">
        <f t="shared" ref="X7:X11" si="7">C7*W7</f>
        <v>3571120.2240000004</v>
      </c>
      <c r="Y7" s="17"/>
      <c r="Z7" s="9"/>
      <c r="AA7" s="68"/>
    </row>
    <row r="8" spans="1:27" ht="17.100000000000001" customHeight="1" x14ac:dyDescent="0.2">
      <c r="A8" s="80">
        <v>3</v>
      </c>
      <c r="B8" s="86" t="s">
        <v>43</v>
      </c>
      <c r="C8" s="23">
        <v>1283028</v>
      </c>
      <c r="D8" s="24">
        <f t="shared" si="4"/>
        <v>51321.120000000003</v>
      </c>
      <c r="E8" s="25">
        <v>2</v>
      </c>
      <c r="F8" s="19">
        <f>E8*F5</f>
        <v>70</v>
      </c>
      <c r="G8" s="26">
        <f t="shared" si="2"/>
        <v>3592.4784</v>
      </c>
      <c r="H8" s="27">
        <v>6</v>
      </c>
      <c r="I8" s="28">
        <f>H8*I5</f>
        <v>210</v>
      </c>
      <c r="J8" s="29">
        <f t="shared" si="5"/>
        <v>10777.4352</v>
      </c>
      <c r="K8" s="7"/>
      <c r="M8" s="51">
        <v>3</v>
      </c>
      <c r="N8" s="65" t="str">
        <f t="shared" si="3"/>
        <v>PROTEK OXYGEN ACTIVE</v>
      </c>
      <c r="O8" s="52">
        <f t="shared" si="0"/>
        <v>70</v>
      </c>
      <c r="P8" s="53">
        <f t="shared" si="1"/>
        <v>210</v>
      </c>
      <c r="R8" s="54">
        <v>3</v>
      </c>
      <c r="S8" s="65" t="str">
        <f>N8</f>
        <v>PROTEK OXYGEN ACTIVE</v>
      </c>
      <c r="T8" s="62">
        <f>E8*I17</f>
        <v>10800</v>
      </c>
      <c r="U8" s="63">
        <f>H8*I18</f>
        <v>75600</v>
      </c>
      <c r="V8" s="98">
        <f t="shared" si="6"/>
        <v>86400</v>
      </c>
      <c r="W8" s="92">
        <f>(V8/1000)/25</f>
        <v>3.4560000000000004</v>
      </c>
      <c r="X8" s="64">
        <f t="shared" si="7"/>
        <v>4434144.7680000002</v>
      </c>
      <c r="Y8" s="17"/>
      <c r="Z8" s="9"/>
      <c r="AA8" s="68"/>
    </row>
    <row r="9" spans="1:27" ht="17.100000000000001" customHeight="1" x14ac:dyDescent="0.2">
      <c r="A9" s="80">
        <v>4</v>
      </c>
      <c r="B9" s="86" t="s">
        <v>44</v>
      </c>
      <c r="C9" s="23">
        <v>1305234</v>
      </c>
      <c r="D9" s="24">
        <f t="shared" si="4"/>
        <v>52209.36</v>
      </c>
      <c r="E9" s="25">
        <v>6</v>
      </c>
      <c r="F9" s="19">
        <f>E9*F5</f>
        <v>210</v>
      </c>
      <c r="G9" s="26">
        <f t="shared" si="2"/>
        <v>10963.965600000001</v>
      </c>
      <c r="H9" s="27">
        <v>6</v>
      </c>
      <c r="I9" s="28">
        <f>H9*I5</f>
        <v>210</v>
      </c>
      <c r="J9" s="29">
        <f t="shared" si="5"/>
        <v>10963.965600000001</v>
      </c>
      <c r="K9" s="7"/>
      <c r="M9" s="51">
        <v>4</v>
      </c>
      <c r="N9" s="65" t="str">
        <f t="shared" si="3"/>
        <v>PROTEK FABRIC SOFT</v>
      </c>
      <c r="O9" s="52">
        <f t="shared" si="0"/>
        <v>210</v>
      </c>
      <c r="P9" s="53">
        <f t="shared" si="1"/>
        <v>210</v>
      </c>
      <c r="R9" s="54">
        <v>4</v>
      </c>
      <c r="S9" s="65" t="str">
        <f>N9</f>
        <v>PROTEK FABRIC SOFT</v>
      </c>
      <c r="T9" s="62">
        <f>E9*I17</f>
        <v>32400</v>
      </c>
      <c r="U9" s="63">
        <f>H9*I18</f>
        <v>75600</v>
      </c>
      <c r="V9" s="98">
        <f t="shared" si="6"/>
        <v>108000</v>
      </c>
      <c r="W9" s="92">
        <f>(V9/1000)/25</f>
        <v>4.32</v>
      </c>
      <c r="X9" s="64">
        <f t="shared" si="7"/>
        <v>5638610.8800000008</v>
      </c>
      <c r="Y9" s="17"/>
      <c r="Z9" s="9"/>
      <c r="AA9" s="68"/>
    </row>
    <row r="10" spans="1:27" ht="17.100000000000001" customHeight="1" x14ac:dyDescent="0.2">
      <c r="A10" s="80">
        <v>5</v>
      </c>
      <c r="B10" s="86" t="s">
        <v>45</v>
      </c>
      <c r="C10" s="23">
        <v>1238293</v>
      </c>
      <c r="D10" s="24">
        <f t="shared" si="4"/>
        <v>49531.72</v>
      </c>
      <c r="E10" s="25">
        <v>1</v>
      </c>
      <c r="F10" s="19">
        <f>E10*F5</f>
        <v>35</v>
      </c>
      <c r="G10" s="26">
        <f>(D10/1000)*F10</f>
        <v>1733.6102000000001</v>
      </c>
      <c r="H10" s="27">
        <v>2</v>
      </c>
      <c r="I10" s="28">
        <f>H10*I5</f>
        <v>70</v>
      </c>
      <c r="J10" s="29">
        <f t="shared" si="5"/>
        <v>3467.2204000000002</v>
      </c>
      <c r="K10" s="7"/>
      <c r="M10" s="54">
        <v>5</v>
      </c>
      <c r="N10" s="65" t="str">
        <f t="shared" si="3"/>
        <v>SENTRY L</v>
      </c>
      <c r="O10" s="52">
        <f t="shared" si="0"/>
        <v>35</v>
      </c>
      <c r="P10" s="55">
        <f t="shared" si="1"/>
        <v>70</v>
      </c>
      <c r="R10" s="54">
        <v>5</v>
      </c>
      <c r="S10" s="65" t="str">
        <f>N10</f>
        <v>SENTRY L</v>
      </c>
      <c r="T10" s="62">
        <f>E10*I17</f>
        <v>5400</v>
      </c>
      <c r="U10" s="63">
        <f>H10*I18</f>
        <v>25200</v>
      </c>
      <c r="V10" s="98">
        <f t="shared" si="6"/>
        <v>30600</v>
      </c>
      <c r="W10" s="92">
        <f>(V10/1000)/25</f>
        <v>1.224</v>
      </c>
      <c r="X10" s="64">
        <f>C10*W10</f>
        <v>1515670.632</v>
      </c>
      <c r="Y10" s="17"/>
      <c r="Z10" s="9"/>
      <c r="AA10" s="68"/>
    </row>
    <row r="11" spans="1:27" ht="15.95" customHeight="1" thickBot="1" x14ac:dyDescent="0.25">
      <c r="A11" s="81">
        <v>6</v>
      </c>
      <c r="B11" s="87" t="s">
        <v>46</v>
      </c>
      <c r="C11" s="30">
        <v>1579786</v>
      </c>
      <c r="D11" s="72">
        <f t="shared" si="4"/>
        <v>63191.44</v>
      </c>
      <c r="E11" s="73">
        <v>1</v>
      </c>
      <c r="F11" s="74">
        <f>E11*F5</f>
        <v>35</v>
      </c>
      <c r="G11" s="75">
        <f>(D11/1000)*F11</f>
        <v>2211.7004000000002</v>
      </c>
      <c r="H11" s="76">
        <v>2</v>
      </c>
      <c r="I11" s="77">
        <f>H11*I5</f>
        <v>70</v>
      </c>
      <c r="J11" s="78">
        <f t="shared" si="5"/>
        <v>4423.4008000000003</v>
      </c>
      <c r="K11" s="7"/>
      <c r="M11" s="56">
        <v>6</v>
      </c>
      <c r="N11" s="66" t="str">
        <f>B11</f>
        <v>ACTION</v>
      </c>
      <c r="O11" s="57">
        <f>F11</f>
        <v>35</v>
      </c>
      <c r="P11" s="58">
        <f>I11</f>
        <v>70</v>
      </c>
      <c r="R11" s="100">
        <v>6</v>
      </c>
      <c r="S11" s="101" t="str">
        <f>N11</f>
        <v>ACTION</v>
      </c>
      <c r="T11" s="102">
        <f>E11*I17</f>
        <v>5400</v>
      </c>
      <c r="U11" s="103">
        <f>H11*I18</f>
        <v>25200</v>
      </c>
      <c r="V11" s="104">
        <f t="shared" si="6"/>
        <v>30600</v>
      </c>
      <c r="W11" s="92">
        <f>(V11/1000)/25</f>
        <v>1.224</v>
      </c>
      <c r="X11" s="105">
        <f t="shared" si="7"/>
        <v>1933658.064</v>
      </c>
      <c r="Y11" s="17"/>
      <c r="Z11" s="9"/>
      <c r="AA11" s="68"/>
    </row>
    <row r="12" spans="1:27" ht="17.100000000000001" customHeight="1" thickTop="1" thickBot="1" x14ac:dyDescent="0.25">
      <c r="A12" s="146" t="s">
        <v>26</v>
      </c>
      <c r="B12" s="147"/>
      <c r="C12" s="147"/>
      <c r="D12" s="147"/>
      <c r="E12" s="147"/>
      <c r="F12" s="148"/>
      <c r="G12" s="69">
        <f>SUM(G6:G11)</f>
        <v>22156.409800000001</v>
      </c>
      <c r="H12" s="69"/>
      <c r="I12" s="70"/>
      <c r="J12" s="71">
        <f>SUM(J6:J11)</f>
        <v>47905.298000000003</v>
      </c>
      <c r="K12" s="10"/>
      <c r="R12" s="93"/>
      <c r="S12" s="94"/>
      <c r="T12" s="94" t="s">
        <v>41</v>
      </c>
      <c r="U12" s="94"/>
      <c r="V12" s="94"/>
      <c r="W12" s="94"/>
      <c r="X12" s="99">
        <f>SUM(X6:X11)</f>
        <v>20664324.791999999</v>
      </c>
      <c r="Y12" s="11"/>
      <c r="Z12" s="11"/>
      <c r="AA12" s="11"/>
    </row>
    <row r="13" spans="1:27" ht="17.100000000000001" customHeight="1" thickTop="1" thickBot="1" x14ac:dyDescent="0.25">
      <c r="A13" s="149" t="s">
        <v>27</v>
      </c>
      <c r="B13" s="150"/>
      <c r="C13" s="150"/>
      <c r="D13" s="150"/>
      <c r="E13" s="150"/>
      <c r="F13" s="151"/>
      <c r="G13" s="31">
        <f>G12/F5</f>
        <v>633.04028000000005</v>
      </c>
      <c r="H13" s="32"/>
      <c r="I13" s="33"/>
      <c r="J13" s="34">
        <f>J12/I5</f>
        <v>1368.7228</v>
      </c>
      <c r="K13" s="10"/>
      <c r="N13" s="12"/>
      <c r="O13" s="9"/>
      <c r="P13" s="8"/>
      <c r="V13" s="13"/>
      <c r="W13" s="13"/>
    </row>
    <row r="14" spans="1:27" ht="27.95" customHeight="1" x14ac:dyDescent="0.2">
      <c r="A14" s="35"/>
      <c r="B14" s="35"/>
      <c r="C14" s="35"/>
      <c r="D14" s="35"/>
      <c r="E14" s="35"/>
      <c r="F14" s="35"/>
      <c r="G14" s="36"/>
      <c r="H14" s="36"/>
      <c r="I14" s="36"/>
      <c r="J14" s="36"/>
      <c r="K14" s="2"/>
      <c r="N14" s="12"/>
      <c r="O14" s="9"/>
      <c r="P14" s="8"/>
      <c r="V14" s="13"/>
      <c r="W14" s="13"/>
    </row>
    <row r="15" spans="1:27" ht="15.75" x14ac:dyDescent="0.2">
      <c r="A15" s="35" t="s">
        <v>28</v>
      </c>
      <c r="B15" s="35"/>
      <c r="C15" s="35"/>
      <c r="D15" s="35"/>
      <c r="E15" s="135">
        <v>600</v>
      </c>
      <c r="F15" s="35" t="s">
        <v>29</v>
      </c>
      <c r="G15" s="35"/>
      <c r="H15" s="35"/>
      <c r="I15" s="35"/>
      <c r="J15" s="35"/>
      <c r="N15" s="12"/>
      <c r="O15" s="9"/>
      <c r="P15" s="8"/>
      <c r="Z15" s="14"/>
    </row>
    <row r="16" spans="1:27" ht="15.75" x14ac:dyDescent="0.2">
      <c r="A16" s="35" t="s">
        <v>30</v>
      </c>
      <c r="B16" s="35"/>
      <c r="C16" s="35"/>
      <c r="D16" s="35"/>
      <c r="E16" s="37">
        <f>E15*30</f>
        <v>18000</v>
      </c>
      <c r="F16" s="35" t="s">
        <v>29</v>
      </c>
      <c r="G16" s="35"/>
      <c r="H16" s="35"/>
      <c r="I16" s="35"/>
      <c r="J16" s="35"/>
      <c r="N16" s="15"/>
      <c r="O16" s="9"/>
      <c r="P16" s="8"/>
      <c r="Z16" s="9"/>
    </row>
    <row r="17" spans="1:18" ht="18.95" customHeight="1" x14ac:dyDescent="0.2">
      <c r="A17" s="35" t="s">
        <v>31</v>
      </c>
      <c r="B17" s="35"/>
      <c r="C17" s="35"/>
      <c r="D17" s="35"/>
      <c r="E17" s="39">
        <v>0.3</v>
      </c>
      <c r="F17" s="35" t="s">
        <v>32</v>
      </c>
      <c r="G17" s="36">
        <f>E16</f>
        <v>18000</v>
      </c>
      <c r="H17" s="35" t="s">
        <v>33</v>
      </c>
      <c r="I17" s="36">
        <f>G17*E17</f>
        <v>5400</v>
      </c>
      <c r="J17" s="35" t="s">
        <v>34</v>
      </c>
      <c r="N17" s="15"/>
      <c r="O17" s="9"/>
      <c r="P17" s="8"/>
      <c r="R17" s="82"/>
    </row>
    <row r="18" spans="1:18" ht="15.75" x14ac:dyDescent="0.2">
      <c r="A18" s="35" t="s">
        <v>35</v>
      </c>
      <c r="B18" s="35"/>
      <c r="C18" s="35"/>
      <c r="D18" s="35"/>
      <c r="E18" s="39">
        <v>0.7</v>
      </c>
      <c r="F18" s="67" t="s">
        <v>49</v>
      </c>
      <c r="G18" s="36">
        <f>E16</f>
        <v>18000</v>
      </c>
      <c r="H18" s="35" t="s">
        <v>33</v>
      </c>
      <c r="I18" s="36">
        <f>G18*E18</f>
        <v>12600</v>
      </c>
      <c r="J18" s="35" t="s">
        <v>34</v>
      </c>
    </row>
    <row r="19" spans="1:18" ht="15.75" x14ac:dyDescent="0.2">
      <c r="A19" s="35"/>
      <c r="B19" s="35"/>
      <c r="C19" s="35"/>
      <c r="D19" s="35"/>
      <c r="E19" s="39"/>
      <c r="F19" s="38"/>
      <c r="G19" s="36"/>
      <c r="H19" s="35"/>
      <c r="I19" s="36"/>
      <c r="J19" s="35"/>
    </row>
    <row r="20" spans="1:18" ht="15.75" customHeight="1" x14ac:dyDescent="0.2">
      <c r="A20" s="40" t="s">
        <v>36</v>
      </c>
      <c r="B20" s="40"/>
      <c r="C20" s="40"/>
      <c r="D20" s="41" t="s">
        <v>37</v>
      </c>
      <c r="E20" s="41">
        <f>G13</f>
        <v>633.04028000000005</v>
      </c>
      <c r="F20" s="42" t="s">
        <v>38</v>
      </c>
      <c r="G20" s="41">
        <f>I17</f>
        <v>5400</v>
      </c>
      <c r="H20" s="40" t="s">
        <v>39</v>
      </c>
      <c r="I20" s="43">
        <f>G20*E20</f>
        <v>3418417.5120000001</v>
      </c>
      <c r="J20" s="44"/>
    </row>
    <row r="21" spans="1:18" x14ac:dyDescent="0.2">
      <c r="A21" s="40" t="s">
        <v>40</v>
      </c>
      <c r="B21" s="40"/>
      <c r="C21" s="40"/>
      <c r="D21" s="41" t="s">
        <v>37</v>
      </c>
      <c r="E21" s="41">
        <f>J13</f>
        <v>1368.7228</v>
      </c>
      <c r="F21" s="42" t="s">
        <v>38</v>
      </c>
      <c r="G21" s="41">
        <f>I18</f>
        <v>12600</v>
      </c>
      <c r="H21" s="40" t="s">
        <v>39</v>
      </c>
      <c r="I21" s="43">
        <f>G21*E21</f>
        <v>17245907.280000001</v>
      </c>
      <c r="J21" s="44"/>
    </row>
    <row r="22" spans="1:18" ht="16.5" thickBo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8" ht="16.5" thickBot="1" x14ac:dyDescent="0.25">
      <c r="A23" s="83" t="s">
        <v>48</v>
      </c>
      <c r="B23" s="84"/>
      <c r="C23" s="84"/>
      <c r="D23" s="84"/>
      <c r="E23" s="84"/>
      <c r="F23" s="85"/>
      <c r="G23" s="137">
        <f>I21+I20</f>
        <v>20664324.792000003</v>
      </c>
      <c r="H23" s="138"/>
      <c r="I23" s="139"/>
      <c r="J23" s="35"/>
      <c r="L23" s="8"/>
    </row>
    <row r="24" spans="1:18" x14ac:dyDescent="0.2">
      <c r="A24" s="3"/>
      <c r="B24" s="3"/>
      <c r="C24" s="3"/>
      <c r="D24" s="3"/>
      <c r="E24" s="3"/>
      <c r="F24" s="3"/>
      <c r="G24" s="16"/>
      <c r="H24" s="16"/>
    </row>
  </sheetData>
  <mergeCells count="8">
    <mergeCell ref="G23:I23"/>
    <mergeCell ref="M1:P1"/>
    <mergeCell ref="R1:X1"/>
    <mergeCell ref="A1:J1"/>
    <mergeCell ref="F3:G3"/>
    <mergeCell ref="I3:J3"/>
    <mergeCell ref="A12:F12"/>
    <mergeCell ref="A13:F13"/>
  </mergeCells>
  <pageMargins left="0.19685039370078741" right="0.19685039370078741" top="0.78740157480314965" bottom="0.74803149606299213" header="0.31496062992125984" footer="0.31496062992125984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Lembar1</vt:lpstr>
      <vt:lpstr>Lembar1!Print_Area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mujiono</dc:creator>
  <cp:lastModifiedBy>agus mujiono</cp:lastModifiedBy>
  <cp:lastPrinted>2024-10-14T05:18:08Z</cp:lastPrinted>
  <dcterms:created xsi:type="dcterms:W3CDTF">2021-11-24T22:41:06Z</dcterms:created>
  <dcterms:modified xsi:type="dcterms:W3CDTF">2026-08-21T13:16:01Z</dcterms:modified>
</cp:coreProperties>
</file>